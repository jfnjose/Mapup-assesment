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Submission\MapUp-Data-Assessment-F\"/>
    </mc:Choice>
  </mc:AlternateContent>
  <xr:revisionPtr revIDLastSave="0" documentId="13_ncr:1_{95F448B4-211A-48A9-9A71-C0E22167E4AC}" xr6:coauthVersionLast="47" xr6:coauthVersionMax="47" xr10:uidLastSave="{00000000-0000-0000-0000-000000000000}"/>
  <bookViews>
    <workbookView xWindow="-120" yWindow="-120" windowWidth="20730" windowHeight="1131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2" i="19" l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<sst xmlns="http://schemas.openxmlformats.org/spreadsheetml/2006/main" count="405" uniqueCount="182">
  <si>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</si>
  <si>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</si>
  <si>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</si>
  <si>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</si>
  <si>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</si>
  <si>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</si>
  <si>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</si>
  <si>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</si>
  <si>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</si>
  <si>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</si>
  <si>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</si>
  <si>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</si>
  <si>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</si>
  <si>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</si>
  <si>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</si>
  <si>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</si>
  <si>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</si>
  <si>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</si>
  <si>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</si>
  <si>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</si>
  <si>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</si>
  <si>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</si>
  <si>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</si>
  <si>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</si>
  <si>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</si>
  <si>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</si>
  <si>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</si>
  <si>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</si>
  <si>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</si>
  <si>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</si>
  <si>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</si>
  <si>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</si>
  <si>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</si>
  <si>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</si>
  <si>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</si>
  <si>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</si>
  <si>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</si>
  <si>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</si>
  <si>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</si>
  <si>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</si>
  <si>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</si>
  <si>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</si>
  <si>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</si>
  <si>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</si>
  <si>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</si>
  <si>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</si>
  <si>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</si>
  <si>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</si>
  <si>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</si>
  <si>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</si>
  <si>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</si>
  <si>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</si>
  <si>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</si>
  <si>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</si>
  <si>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</si>
  <si>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</si>
  <si>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</si>
  <si>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</si>
  <si>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</si>
  <si>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</si>
  <si>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</si>
  <si>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</si>
  <si>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</si>
  <si>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</si>
  <si>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</si>
  <si>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</si>
  <si>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</si>
  <si>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</si>
  <si>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</si>
  <si>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</si>
  <si>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</si>
  <si>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</si>
  <si>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</si>
  <si>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</si>
  <si>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</si>
  <si>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</si>
  <si>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</si>
  <si>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</si>
  <si>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</si>
  <si>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</si>
  <si>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</si>
  <si>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</si>
  <si>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</si>
  <si>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</si>
  <si>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</si>
  <si>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</si>
  <si>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</si>
  <si>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</si>
  <si>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</si>
  <si>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</si>
  <si>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</si>
  <si>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</si>
  <si>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</si>
  <si>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</si>
  <si>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</si>
  <si>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</si>
  <si>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</si>
  <si>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</si>
  <si>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</si>
  <si>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</si>
  <si>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</si>
  <si>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</si>
  <si>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</si>
  <si>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</si>
  <si>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</si>
  <si>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</si>
  <si>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</si>
  <si>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</si>
  <si>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</si>
  <si>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</si>
  <si>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</si>
  <si>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</si>
  <si>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</si>
  <si>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</si>
  <si>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</si>
  <si>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</si>
  <si>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</si>
  <si>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</si>
  <si>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</si>
  <si>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</si>
  <si>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</si>
  <si>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</si>
  <si>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</si>
  <si>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</si>
  <si>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</si>
  <si>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</si>
  <si>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</si>
  <si>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</si>
  <si>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</si>
  <si>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</si>
  <si>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</si>
  <si>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</si>
  <si>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</si>
  <si>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</si>
  <si>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</si>
  <si>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</si>
  <si>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</si>
  <si>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</si>
  <si>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</si>
  <si>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</si>
  <si>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</si>
  <si>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</si>
  <si>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</si>
  <si>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</si>
  <si>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</si>
  <si>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</si>
  <si>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</si>
  <si>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</si>
  <si>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</si>
  <si>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</si>
  <si>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</si>
  <si>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</si>
  <si>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</si>
  <si>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</si>
  <si>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</si>
  <si>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</si>
  <si>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</si>
  <si>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</si>
  <si>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</si>
  <si>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</si>
  <si>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</si>
  <si>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</si>
  <si>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</si>
  <si>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</si>
  <si>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</si>
  <si>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</si>
  <si>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</si>
  <si>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</si>
  <si>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</si>
  <si>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</si>
  <si>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</si>
  <si>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</si>
  <si>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</si>
  <si>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</si>
  <si>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</si>
  <si>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</si>
  <si>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SUMIF(H2:H40,"&gt;20",H2:H40)</t>
  </si>
  <si>
    <t>spliting the data with - as seperator and choose the destination.</t>
  </si>
  <si>
    <t>text to colomns from data tab is used</t>
  </si>
  <si>
    <t>All 20 values must be substituted with the value '20'</t>
  </si>
  <si>
    <t>find and replace is used to fill the #N/A values with 20</t>
  </si>
  <si>
    <t>since the #N/A values is a text we cannot use the go to references to find the error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</si>
</sst>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J1" zoomScaleNormal="100" workbookViewId="0">
      <pane ySplit="1" topLeftCell="A2" activePane="bottomLeft" state="frozen"/>
      <selection pane="bottomLeft" activeCell="X7" sqref="X7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83203125" style="24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SUMIF(H2:H40,"&gt;20",H2:H40)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C40 E1:X40">
    <cfRule type="cellIs" dxfId="1" priority="2" operator="equal">
      <formula>0</formula>
    </cfRule>
  </conditionalFormatting>
  <conditionalFormatting sqref="A1:XFD1048576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176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F31" sqref="F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VLOOKUP(A6,Dataset!A:G,7,FALSE)</f>
        <v>2.7</v>
      </c>
      <c r="C6" s="12">
        <f>VLOOKUP(A6,Dataset!A1:N40,14,FALSE)</f>
        <v>7.6</v>
      </c>
      <c r="D6" s="12">
        <f>VLOOKUP(A6,Dataset!A1:R40,18,FALSE)</f>
        <v>4.2</v>
      </c>
      <c r="E6" s="12">
        <f>VLOOKUP(A6,Dataset!A1:T40,20,FALSE)</f>
        <v>8.9</v>
      </c>
      <c r="F6" s="8">
        <f>VLOOKUP(A6,Dataset!A1:V40,22,FALSE)</f>
        <v>4.2</v>
      </c>
    </row>
    <row r="7" spans="1:7" ht="15" x14ac:dyDescent="0.25">
      <c r="A7" s="7" t="s">
        <v>4</v>
      </c>
      <c r="B7" s="12">
        <f>VLOOKUP(A7,Dataset!A:G,7,FALSE)</f>
        <v>2.7</v>
      </c>
      <c r="C7" s="12">
        <f>VLOOKUP(A7,Dataset!A2:N41,14,FALSE)</f>
        <v>7.6</v>
      </c>
      <c r="D7" s="12">
        <f>VLOOKUP(A7,Dataset!A2:R41,18,FALSE)</f>
        <v>4.2</v>
      </c>
      <c r="E7" s="12">
        <f>VLOOKUP(A7,Dataset!A2:T41,20,FALSE)</f>
        <v>8.9</v>
      </c>
      <c r="F7" s="8">
        <f>VLOOKUP(A7,Dataset!A2:V41,22,FALSE)</f>
        <v>4.2</v>
      </c>
    </row>
    <row r="8" spans="1:7" ht="15" x14ac:dyDescent="0.25">
      <c r="A8" s="7" t="s">
        <v>7</v>
      </c>
      <c r="B8" s="12">
        <f>VLOOKUP(A8,Dataset!A:G,7,FALSE)</f>
        <v>3.6</v>
      </c>
      <c r="C8" s="12">
        <f>VLOOKUP(A8,Dataset!A3:N42,14,FALSE)</f>
        <v>11.1</v>
      </c>
      <c r="D8" s="12">
        <f>VLOOKUP(A8,Dataset!A3:R42,18,FALSE)</f>
        <v>5.8</v>
      </c>
      <c r="E8" s="12">
        <f>VLOOKUP(A8,Dataset!A3:T42,20,FALSE)</f>
        <v>12.2</v>
      </c>
      <c r="F8" s="8">
        <f>VLOOKUP(A8,Dataset!A3:V42,22,FALSE)</f>
        <v>5.8</v>
      </c>
    </row>
    <row r="9" spans="1:7" ht="15" x14ac:dyDescent="0.25">
      <c r="A9" s="7" t="s">
        <v>8</v>
      </c>
      <c r="B9" s="12">
        <f>VLOOKUP(A9,Dataset!A:G,7,FALSE)</f>
        <v>4.9000000000000004</v>
      </c>
      <c r="C9" s="12">
        <f>VLOOKUP(A9,Dataset!A4:N43,14,FALSE)</f>
        <v>13.3</v>
      </c>
      <c r="D9" s="12">
        <f>VLOOKUP(A9,Dataset!A4:R43,18,FALSE)</f>
        <v>8.1</v>
      </c>
      <c r="E9" s="12">
        <f>VLOOKUP(A9,Dataset!A4:T43,20,FALSE)</f>
        <v>17</v>
      </c>
      <c r="F9" s="8">
        <f>VLOOKUP(A9,Dataset!A4:V43,22,FALSE)</f>
        <v>8.1</v>
      </c>
    </row>
    <row r="10" spans="1:7" ht="15" x14ac:dyDescent="0.25">
      <c r="A10" s="7" t="s">
        <v>11</v>
      </c>
      <c r="B10" s="12">
        <f>VLOOKUP(A10,Dataset!A:G,7,FALSE)</f>
        <v>9.4</v>
      </c>
      <c r="C10" s="12">
        <f>VLOOKUP(A10,Dataset!A5:N44,14,FALSE)</f>
        <v>28.3</v>
      </c>
      <c r="D10" s="12">
        <f>VLOOKUP(A10,Dataset!A5:R44,18,FALSE)</f>
        <v>16.100000000000001</v>
      </c>
      <c r="E10" s="12">
        <f>VLOOKUP(A10,Dataset!A5:T44,20,FALSE)</f>
        <v>32.799999999999997</v>
      </c>
      <c r="F10" s="8">
        <f>VLOOKUP(A10,Dataset!A5:V44,22,FALSE)</f>
        <v>16.100000000000001</v>
      </c>
    </row>
    <row r="11" spans="1:7" ht="15" x14ac:dyDescent="0.25">
      <c r="A11" s="7" t="s">
        <v>12</v>
      </c>
      <c r="B11" s="12">
        <f>VLOOKUP(A11,Dataset!A:G,7,FALSE)</f>
        <v>11.6</v>
      </c>
      <c r="C11" s="12">
        <f>VLOOKUP(A11,Dataset!A6:N45,14,FALSE)</f>
        <v>35.200000000000003</v>
      </c>
      <c r="D11" s="12">
        <f>VLOOKUP(A11,Dataset!A6:R45,18,FALSE)</f>
        <v>21.3</v>
      </c>
      <c r="E11" s="12">
        <f>VLOOKUP(A11,Dataset!A6:T45,20,FALSE)</f>
        <v>43</v>
      </c>
      <c r="F11" s="8">
        <f>VLOOKUP(A11,Dataset!A6:V45,22,FALSE)</f>
        <v>21.3</v>
      </c>
    </row>
    <row r="12" spans="1:7" ht="15" x14ac:dyDescent="0.25">
      <c r="A12" s="7" t="s">
        <v>14</v>
      </c>
      <c r="B12" s="12">
        <f>VLOOKUP(A12,Dataset!A:G,7,FALSE)</f>
        <v>18.399999999999999</v>
      </c>
      <c r="C12" s="12">
        <f>VLOOKUP(A12,Dataset!A7:N46,14,FALSE)</f>
        <v>55.6</v>
      </c>
      <c r="D12" s="12">
        <f>VLOOKUP(A12,Dataset!A7:R46,18,FALSE)</f>
        <v>33.799999999999997</v>
      </c>
      <c r="E12" s="12">
        <f>VLOOKUP(A12,Dataset!A7:T46,20,FALSE)</f>
        <v>67.900000000000006</v>
      </c>
      <c r="F12" s="8">
        <f>VLOOKUP(A12,Dataset!A7:V46,22,FALSE)</f>
        <v>33.799999999999997</v>
      </c>
    </row>
    <row r="13" spans="1:7" ht="15" x14ac:dyDescent="0.25">
      <c r="A13" s="7" t="s">
        <v>15</v>
      </c>
      <c r="B13" s="12">
        <f>VLOOKUP(A13,Dataset!A:G,7,FALSE)</f>
        <v>0</v>
      </c>
      <c r="C13" s="12">
        <f>VLOOKUP(A13,Dataset!A8:N47,14,FALSE)</f>
        <v>0</v>
      </c>
      <c r="D13" s="12">
        <f>VLOOKUP(A13,Dataset!A8:R47,18,FALSE)</f>
        <v>0</v>
      </c>
      <c r="E13" s="12">
        <f>VLOOKUP(A13,Dataset!A8:T47,20,FALSE)</f>
        <v>0</v>
      </c>
      <c r="F13" s="8">
        <f>VLOOKUP(A13,Dataset!A8:V47,22,FALSE)</f>
        <v>0</v>
      </c>
    </row>
    <row r="14" spans="1:7" ht="15" x14ac:dyDescent="0.25">
      <c r="A14" s="7" t="s">
        <v>16</v>
      </c>
      <c r="B14" s="12">
        <f>VLOOKUP(A14,Dataset!A:G,7,FALSE)</f>
        <v>21.9</v>
      </c>
      <c r="C14" s="12">
        <f>VLOOKUP(A14,Dataset!A9:N48,14,FALSE)</f>
        <v>61.5</v>
      </c>
      <c r="D14" s="12">
        <f>VLOOKUP(A14,Dataset!A9:R48,18,FALSE)</f>
        <v>40.1</v>
      </c>
      <c r="E14" s="12">
        <f>VLOOKUP(A14,Dataset!A9:T48,20,FALSE)</f>
        <v>76.599999999999994</v>
      </c>
      <c r="F14" s="8">
        <f>VLOOKUP(A14,Dataset!A9:V48,22,FALSE)</f>
        <v>40.1</v>
      </c>
    </row>
    <row r="15" spans="1:7" ht="15" x14ac:dyDescent="0.25">
      <c r="A15" s="7" t="s">
        <v>18</v>
      </c>
      <c r="B15" s="12">
        <f>VLOOKUP(A15,Dataset!A:G,7,FALSE)</f>
        <v>26.8</v>
      </c>
      <c r="C15" s="12">
        <f>VLOOKUP(A15,Dataset!A10:N49,14,FALSE)</f>
        <v>79.599999999999994</v>
      </c>
      <c r="D15" s="12">
        <f>VLOOKUP(A15,Dataset!A10:R49,18,FALSE)</f>
        <v>47.9</v>
      </c>
      <c r="E15" s="12">
        <f>VLOOKUP(A15,Dataset!A10:T49,20,FALSE)</f>
        <v>96.8</v>
      </c>
      <c r="F15" s="8">
        <f>VLOOKUP(A15,Dataset!A10:V49,22,FALSE)</f>
        <v>47.9</v>
      </c>
    </row>
    <row r="16" spans="1:7" ht="15" x14ac:dyDescent="0.25">
      <c r="A16" s="7" t="s">
        <v>20</v>
      </c>
      <c r="B16" s="12">
        <f>VLOOKUP(A16,Dataset!A:G,7,FALSE)</f>
        <v>28.5</v>
      </c>
      <c r="C16" s="12">
        <f>VLOOKUP(A16,Dataset!A11:N50,14,FALSE)</f>
        <v>85.4</v>
      </c>
      <c r="D16" s="12">
        <f>VLOOKUP(A16,Dataset!A11:R50,18,FALSE)</f>
        <v>52.3</v>
      </c>
      <c r="E16" s="12">
        <f>VLOOKUP(A16,Dataset!A11:T50,20,FALSE)</f>
        <v>106.1</v>
      </c>
      <c r="F16" s="8">
        <f>VLOOKUP(A16,Dataset!A11:V50,22,FALSE)</f>
        <v>52.3</v>
      </c>
    </row>
    <row r="17" spans="1:6" ht="15" x14ac:dyDescent="0.25">
      <c r="A17" s="7" t="s">
        <v>22</v>
      </c>
      <c r="B17" s="12">
        <f>VLOOKUP(A17,Dataset!A:G,7,FALSE)</f>
        <v>30.7</v>
      </c>
      <c r="C17" s="12">
        <f>VLOOKUP(A17,Dataset!A12:N51,14,FALSE)</f>
        <v>92.1</v>
      </c>
      <c r="D17" s="12">
        <f>VLOOKUP(A17,Dataset!A12:R51,18,FALSE)</f>
        <v>57</v>
      </c>
      <c r="E17" s="12">
        <f>VLOOKUP(A17,Dataset!A12:T51,20,FALSE)</f>
        <v>115.1</v>
      </c>
      <c r="F17" s="8">
        <f>VLOOKUP(A17,Dataset!A12:V51,22,FALSE)</f>
        <v>57</v>
      </c>
    </row>
    <row r="18" spans="1:6" ht="15" x14ac:dyDescent="0.25">
      <c r="A18" s="7" t="s">
        <v>23</v>
      </c>
      <c r="B18" s="12">
        <f>VLOOKUP(A18,Dataset!A:G,7,FALSE)</f>
        <v>33.799999999999997</v>
      </c>
      <c r="C18" s="12">
        <f>VLOOKUP(A18,Dataset!A13:N52,14,FALSE)</f>
        <v>101.3</v>
      </c>
      <c r="D18" s="12">
        <f>VLOOKUP(A18,Dataset!A13:R52,18,FALSE)</f>
        <v>61.4</v>
      </c>
      <c r="E18" s="12">
        <f>VLOOKUP(A18,Dataset!A13:T52,20,FALSE)</f>
        <v>124.4</v>
      </c>
      <c r="F18" s="8">
        <f>VLOOKUP(A18,Dataset!A13:V52,22,FALSE)</f>
        <v>61.4</v>
      </c>
    </row>
    <row r="19" spans="1:6" ht="15" x14ac:dyDescent="0.25">
      <c r="A19" s="7" t="s">
        <v>24</v>
      </c>
      <c r="B19" s="12">
        <f>VLOOKUP(A19,Dataset!A:G,7,FALSE)</f>
        <v>34.700000000000003</v>
      </c>
      <c r="C19" s="12">
        <f>VLOOKUP(A19,Dataset!A14:N53,14,FALSE)</f>
        <v>106.1</v>
      </c>
      <c r="D19" s="12">
        <f>VLOOKUP(A19,Dataset!A14:R53,18,FALSE)</f>
        <v>63.6</v>
      </c>
      <c r="E19" s="12">
        <f>VLOOKUP(A19,Dataset!A14:T53,20,FALSE)</f>
        <v>128.6</v>
      </c>
      <c r="F19" s="8">
        <f>VLOOKUP(A19,Dataset!A14:V53,22,FALSE)</f>
        <v>63.6</v>
      </c>
    </row>
    <row r="20" spans="1:6" ht="15" x14ac:dyDescent="0.25">
      <c r="A20" s="7" t="s">
        <v>28</v>
      </c>
      <c r="B20" s="12">
        <f>VLOOKUP(A20,Dataset!A:G,7,FALSE)</f>
        <v>0</v>
      </c>
      <c r="C20" s="12">
        <f>VLOOKUP(A20,Dataset!A15:N54,14,FALSE)</f>
        <v>0</v>
      </c>
      <c r="D20" s="12">
        <f>VLOOKUP(A20,Dataset!A15:R54,18,FALSE)</f>
        <v>0</v>
      </c>
      <c r="E20" s="12">
        <f>VLOOKUP(A20,Dataset!A15:T54,20,FALSE)</f>
        <v>0</v>
      </c>
      <c r="F20" s="8">
        <f>VLOOKUP(A20,Dataset!A15:V54,22,FALSE)</f>
        <v>0</v>
      </c>
    </row>
    <row r="21" spans="1:6" ht="15" x14ac:dyDescent="0.25">
      <c r="A21" s="7" t="s">
        <v>57</v>
      </c>
      <c r="B21" s="12">
        <f>VLOOKUP(A21,Dataset!A:G,7,FALSE)</f>
        <v>41.3</v>
      </c>
      <c r="C21" s="12">
        <f>VLOOKUP(A21,Dataset!A16:N55,14,FALSE)</f>
        <v>124.4</v>
      </c>
      <c r="D21" s="12">
        <f>VLOOKUP(A21,Dataset!A16:R55,18,FALSE)</f>
        <v>75</v>
      </c>
      <c r="E21" s="12">
        <f>VLOOKUP(A21,Dataset!A16:T55,20,FALSE)</f>
        <v>151.5</v>
      </c>
      <c r="F21" s="8">
        <f>VLOOKUP(A21,Dataset!A16:V55,22,FALSE)</f>
        <v>75</v>
      </c>
    </row>
    <row r="22" spans="1:6" ht="15" x14ac:dyDescent="0.25">
      <c r="A22" s="7" t="s">
        <v>58</v>
      </c>
      <c r="B22" s="12">
        <f>VLOOKUP(A22,Dataset!A:G,7,FALSE)</f>
        <v>-1</v>
      </c>
      <c r="C22" s="12">
        <f>VLOOKUP(A22,Dataset!A17:N56,14,FALSE)</f>
        <v>-1</v>
      </c>
      <c r="D22" s="12">
        <f>VLOOKUP(A22,Dataset!A17:R56,18,FALSE)</f>
        <v>-1</v>
      </c>
      <c r="E22" s="12">
        <f>VLOOKUP(A22,Dataset!A17:T56,20,FALSE)</f>
        <v>-1</v>
      </c>
      <c r="F22" s="8">
        <f>VLOOKUP(A22,Dataset!A17:V56,22,FALSE)</f>
        <v>-1</v>
      </c>
    </row>
    <row r="23" spans="1:6" ht="15" x14ac:dyDescent="0.25">
      <c r="A23" s="7" t="s">
        <v>31</v>
      </c>
      <c r="B23" s="12">
        <f>VLOOKUP(A23,Dataset!A:G,7,FALSE)</f>
        <v>45</v>
      </c>
      <c r="C23" s="12">
        <f>VLOOKUP(A23,Dataset!A18:N57,14,FALSE)</f>
        <v>133.4</v>
      </c>
      <c r="D23" s="12">
        <f>VLOOKUP(A23,Dataset!A18:R57,18,FALSE)</f>
        <v>79.400000000000006</v>
      </c>
      <c r="E23" s="12">
        <f>VLOOKUP(A23,Dataset!A18:T57,20,FALSE)</f>
        <v>160.9</v>
      </c>
      <c r="F23" s="8">
        <f>VLOOKUP(A23,Dataset!A18:V57,22,FALSE)</f>
        <v>79.400000000000006</v>
      </c>
    </row>
    <row r="24" spans="1:6" ht="15" x14ac:dyDescent="0.25">
      <c r="A24" s="7" t="s">
        <v>32</v>
      </c>
      <c r="B24" s="12">
        <f>VLOOKUP(A24,Dataset!A:G,7,FALSE)</f>
        <v>-1</v>
      </c>
      <c r="C24" s="12">
        <f>VLOOKUP(A24,Dataset!A19:N58,14,FALSE)</f>
        <v>-1</v>
      </c>
      <c r="D24" s="12">
        <f>VLOOKUP(A24,Dataset!A19:R58,18,FALSE)</f>
        <v>-1</v>
      </c>
      <c r="E24" s="12">
        <f>VLOOKUP(A24,Dataset!A19:T58,20,FALSE)</f>
        <v>-1</v>
      </c>
      <c r="F24" s="8">
        <f>VLOOKUP(A24,Dataset!A19:V58,22,FALSE)</f>
        <v>-1</v>
      </c>
    </row>
    <row r="25" spans="1:6" ht="15" x14ac:dyDescent="0.25">
      <c r="A25" s="7" t="s">
        <v>34</v>
      </c>
      <c r="B25" s="12">
        <f>VLOOKUP(A25,Dataset!A:G,7,FALSE)</f>
        <v>43.3</v>
      </c>
      <c r="C25" s="12">
        <f>VLOOKUP(A25,Dataset!A20:N59,14,FALSE)</f>
        <v>128.6</v>
      </c>
      <c r="D25" s="12">
        <f>VLOOKUP(A25,Dataset!A20:R59,18,FALSE)</f>
        <v>79.400000000000006</v>
      </c>
      <c r="E25" s="12">
        <f>VLOOKUP(A25,Dataset!A20:T59,20,FALSE)</f>
        <v>160.9</v>
      </c>
      <c r="F25" s="8">
        <f>VLOOKUP(A25,Dataset!A20:V59,22,FALSE)</f>
        <v>79.400000000000006</v>
      </c>
    </row>
    <row r="26" spans="1:6" ht="15" x14ac:dyDescent="0.25">
      <c r="A26" s="7" t="s">
        <v>37</v>
      </c>
      <c r="B26" s="12">
        <f>VLOOKUP(A26,Dataset!A:G,7,FALSE)</f>
        <v>49.1</v>
      </c>
      <c r="C26" s="12">
        <f>VLOOKUP(A26,Dataset!A21:N60,14,FALSE)</f>
        <v>146.80000000000001</v>
      </c>
      <c r="D26" s="12">
        <f>VLOOKUP(A26,Dataset!A21:R60,18,FALSE)</f>
        <v>90.9</v>
      </c>
      <c r="E26" s="12">
        <f>VLOOKUP(A26,Dataset!A21:T60,20,FALSE)</f>
        <v>183.5</v>
      </c>
      <c r="F26" s="8">
        <f>VLOOKUP(A26,Dataset!A21:V60,22,FALSE)</f>
        <v>90.9</v>
      </c>
    </row>
    <row r="27" spans="1:6" ht="15" x14ac:dyDescent="0.25">
      <c r="A27" s="7" t="s">
        <v>39</v>
      </c>
      <c r="B27" s="12">
        <f>VLOOKUP(A27,Dataset!A:G,7,FALSE)</f>
        <v>51.8</v>
      </c>
      <c r="C27" s="12">
        <f>VLOOKUP(A27,Dataset!A22:N61,14,FALSE)</f>
        <v>156.4</v>
      </c>
      <c r="D27" s="12">
        <f>VLOOKUP(A27,Dataset!A22:R61,18,FALSE)</f>
        <v>93.1</v>
      </c>
      <c r="E27" s="12">
        <f>VLOOKUP(A27,Dataset!A22:T61,20,FALSE)</f>
        <v>188.1</v>
      </c>
      <c r="F27" s="8">
        <f>VLOOKUP(A27,Dataset!A22:V61,22,FALSE)</f>
        <v>93.1</v>
      </c>
    </row>
    <row r="28" spans="1:6" ht="15" x14ac:dyDescent="0.25">
      <c r="A28" s="19" t="s">
        <v>82</v>
      </c>
      <c r="B28" s="12">
        <f>MIN(B6:B27)</f>
        <v>-1</v>
      </c>
      <c r="C28" s="12">
        <f>MIN(C6:C27)</f>
        <v>-1</v>
      </c>
      <c r="D28" s="12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12">
        <f>MAX(B6:B27)</f>
        <v>51.8</v>
      </c>
      <c r="C29" s="12">
        <f>MAX(C6:C27)</f>
        <v>156.4</v>
      </c>
      <c r="D29" s="12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12">
        <f>AVERAGE(B6:B27)</f>
        <v>20.827272727272728</v>
      </c>
      <c r="C30" s="12">
        <f>AVERAGE(C6:C27)</f>
        <v>62.377272727272725</v>
      </c>
      <c r="D30" s="12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2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178</v>
      </c>
    </row>
    <row r="6" spans="1:10" ht="18.75" x14ac:dyDescent="0.3">
      <c r="A6" s="43" t="s">
        <v>153</v>
      </c>
      <c r="B6" s="40" t="s">
        <v>177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166</v>
      </c>
    </row>
    <row r="2" spans="1:3" ht="18.75" x14ac:dyDescent="0.3">
      <c r="B2" s="40" t="s">
        <v>179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A23" sqref="A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174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AMALA</cp:lastModifiedBy>
  <dcterms:created xsi:type="dcterms:W3CDTF">2015-02-10T17:33:11Z</dcterms:created>
  <dcterms:modified xsi:type="dcterms:W3CDTF">2023-12-09T12:09:58Z</dcterms:modified>
</cp:coreProperties>
</file>